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I:\Packt\Performance_v2\07_Concurrent_datastructures\07_concurrent_hash\"/>
    </mc:Choice>
  </mc:AlternateContent>
  <xr:revisionPtr revIDLastSave="0" documentId="13_ncr:1_{FE8435EB-205F-4A1E-982C-D676D59A815A}" xr6:coauthVersionLast="47" xr6:coauthVersionMax="47" xr10:uidLastSave="{00000000-0000-0000-0000-000000000000}"/>
  <bookViews>
    <workbookView xWindow="38290" yWindow="-110" windowWidth="38620" windowHeight="21100" activeTab="2" xr2:uid="{00000000-000D-0000-FFFF-FFFF00000000}"/>
  </bookViews>
  <sheets>
    <sheet name="leslie" sheetId="1" r:id="rId1"/>
    <sheet name="lorien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H8" i="2"/>
  <c r="E8" i="2"/>
  <c r="D8" i="2"/>
  <c r="I7" i="2"/>
  <c r="H7" i="2"/>
  <c r="E7" i="2"/>
  <c r="D7" i="2"/>
  <c r="I6" i="2"/>
  <c r="H6" i="2"/>
  <c r="E6" i="2"/>
  <c r="D6" i="2"/>
  <c r="I5" i="2"/>
  <c r="H5" i="2"/>
  <c r="E5" i="2"/>
  <c r="D5" i="2"/>
  <c r="I4" i="2"/>
  <c r="H4" i="2"/>
  <c r="E4" i="2"/>
  <c r="D4" i="2"/>
  <c r="I3" i="2"/>
  <c r="H3" i="2"/>
  <c r="E3" i="2"/>
  <c r="D3" i="2"/>
  <c r="I2" i="2"/>
  <c r="H2" i="2"/>
  <c r="E2" i="2"/>
  <c r="D2" i="2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E11" i="1"/>
  <c r="E10" i="1"/>
  <c r="E9" i="1"/>
  <c r="E8" i="1"/>
  <c r="E7" i="1"/>
  <c r="E6" i="1"/>
  <c r="E5" i="1"/>
  <c r="E4" i="1"/>
  <c r="E3" i="1"/>
  <c r="D11" i="1"/>
  <c r="D10" i="1"/>
  <c r="D9" i="1"/>
  <c r="D8" i="1"/>
  <c r="D7" i="1"/>
  <c r="D6" i="1"/>
  <c r="D5" i="1"/>
  <c r="D4" i="1"/>
  <c r="D3" i="1"/>
  <c r="E2" i="1"/>
  <c r="D2" i="1"/>
</calcChain>
</file>

<file path=xl/sharedStrings.xml><?xml version="1.0" encoding="utf-8"?>
<sst xmlns="http://schemas.openxmlformats.org/spreadsheetml/2006/main" count="14" uniqueCount="5">
  <si>
    <t>Threads</t>
  </si>
  <si>
    <t>ConcurrentHashSet</t>
  </si>
  <si>
    <t>Insert</t>
  </si>
  <si>
    <t>Lookup</t>
  </si>
  <si>
    <t>std::unordered_set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</si>
</sst>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511836767718368E-2"/>
          <c:y val="4.4140625919517909E-2"/>
          <c:w val="0.88093943885225467"/>
          <c:h val="0.76740816590751271"/>
        </c:manualLayout>
      </c:layout>
      <c:scatterChart>
        <c:scatterStyle val="lineMarker"/>
        <c:varyColors val="0"/>
        <c:ser>
          <c:idx val="0"/>
          <c:order val="0"/>
          <c:tx>
            <c:strRef>
              <c:f>leslie!$D$2</c:f>
              <c:strCache>
                <c:ptCount val="1"/>
                <c:pt idx="0">
                  <c:v>ConcurrentHashSet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leslie!$A$3:$A$11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leslie!$D$3:$D$11</c:f>
              <c:numCache>
                <c:formatCode>0.00E+00</c:formatCode>
                <c:ptCount val="9"/>
                <c:pt idx="0">
                  <c:v>23.2377</c:v>
                </c:pt>
                <c:pt idx="1">
                  <c:v>60.942100000000003</c:v>
                </c:pt>
                <c:pt idx="2">
                  <c:v>123.03100000000001</c:v>
                </c:pt>
                <c:pt idx="3">
                  <c:v>226.75299999999999</c:v>
                </c:pt>
                <c:pt idx="4">
                  <c:v>321.77800000000002</c:v>
                </c:pt>
                <c:pt idx="5">
                  <c:v>163.203</c:v>
                </c:pt>
                <c:pt idx="6">
                  <c:v>72.591300000000004</c:v>
                </c:pt>
                <c:pt idx="7">
                  <c:v>60.9405</c:v>
                </c:pt>
                <c:pt idx="8">
                  <c:v>32.414499999999997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87-4C65-8F25-88B0FE78D788}"/>
            </c:ext>
          </c:extLst>
        </c:ser>
        <c:ser>
          <c:idx val="1"/>
          <c:order val="1"/>
          <c:tx>
            <c:strRef>
              <c:f>leslie!$E$2</c:f>
              <c:strCache>
                <c:ptCount val="1"/>
                <c:pt idx="0">
                  <c:v>std::unordered_set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leslie!$A$3:$A$11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leslie!$E$3:$E$11</c:f>
              <c:numCache>
                <c:formatCode>0.00E+00</c:formatCode>
                <c:ptCount val="9"/>
                <c:pt idx="0">
                  <c:v>17.410599999999999</c:v>
                </c:pt>
                <c:pt idx="1">
                  <c:v>5.4114899999999997</c:v>
                </c:pt>
                <c:pt idx="2">
                  <c:v>4.5317600000000002</c:v>
                </c:pt>
                <c:pt idx="3">
                  <c:v>1.9285300000000001</c:v>
                </c:pt>
                <c:pt idx="4">
                  <c:v>1.8099099999999999</c:v>
                </c:pt>
                <c:pt idx="5">
                  <c:v>1.7395099999999999</c:v>
                </c:pt>
                <c:pt idx="6">
                  <c:v>1.21326</c:v>
                </c:pt>
                <c:pt idx="7">
                  <c:v>0.98070999999999997</c:v>
                </c:pt>
                <c:pt idx="8">
                  <c:v>0.78720199999999996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87-4C65-8F25-88B0FE78D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1151"/>
        <c:axId val="1572195311"/>
      </c:scatterChart>
      <c:valAx>
        <c:axId val="55141151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Number of Threads</a:t>
                </a:r>
              </a:p>
            </c:rich>
          </c:tx>
          <c:layout>
            <c:manualLayout>
              <c:xMode val="edge"/>
              <c:yMode val="edge"/>
              <c:x val="0.40807858749199971"/>
              <c:y val="0.904782787801749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95311"/>
        <c:crosses val="autoZero"/>
        <c:crossBetween val="midCat"/>
      </c:valAx>
      <c:valAx>
        <c:axId val="1572195311"/>
        <c:scaling>
          <c:logBase val="10"/>
          <c:orientation val="minMax"/>
          <c:max val="35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Throughput, millions of items/sec </a:t>
                </a:r>
              </a:p>
            </c:rich>
          </c:tx>
          <c:layout>
            <c:manualLayout>
              <c:xMode val="edge"/>
              <c:yMode val="edge"/>
              <c:x val="6.67942854448583E-3"/>
              <c:y val="0.175008137949236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115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72659740278845353"/>
          <c:y val="2.910464962829367E-2"/>
          <c:w val="0.19819666282957041"/>
          <c:h val="0.1576179122861038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511836767718368E-2"/>
          <c:y val="4.4140625919517909E-2"/>
          <c:w val="0.88093943885225467"/>
          <c:h val="0.76740816590751271"/>
        </c:manualLayout>
      </c:layout>
      <c:scatterChart>
        <c:scatterStyle val="lineMarker"/>
        <c:varyColors val="0"/>
        <c:ser>
          <c:idx val="0"/>
          <c:order val="0"/>
          <c:tx>
            <c:strRef>
              <c:f>leslie!$H$2</c:f>
              <c:strCache>
                <c:ptCount val="1"/>
                <c:pt idx="0">
                  <c:v>ConcurrentHashSet</c:v>
                </c:pt>
              </c:strCache>
            </c:strRef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leslie!$A$3:$A$11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leslie!$H$3:$H$11</c:f>
              <c:numCache>
                <c:formatCode>0.00E+00</c:formatCode>
                <c:ptCount val="9"/>
                <c:pt idx="0">
                  <c:v>3.7185099999999999E-2</c:v>
                </c:pt>
                <c:pt idx="1">
                  <c:v>8.2700099999999999E-2</c:v>
                </c:pt>
                <c:pt idx="2">
                  <c:v>0.12445000000000001</c:v>
                </c:pt>
                <c:pt idx="3">
                  <c:v>0.205647</c:v>
                </c:pt>
                <c:pt idx="4">
                  <c:v>0.37225599999999998</c:v>
                </c:pt>
                <c:pt idx="5">
                  <c:v>0.57648600000000005</c:v>
                </c:pt>
                <c:pt idx="6">
                  <c:v>0.85890699999999998</c:v>
                </c:pt>
                <c:pt idx="7">
                  <c:v>1.16093</c:v>
                </c:pt>
                <c:pt idx="8">
                  <c:v>1.0793699999999999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BC-4CF0-ADE7-EBEF2F55B346}"/>
            </c:ext>
          </c:extLst>
        </c:ser>
        <c:ser>
          <c:idx val="1"/>
          <c:order val="1"/>
          <c:tx>
            <c:strRef>
              <c:f>leslie!$I$2</c:f>
              <c:strCache>
                <c:ptCount val="1"/>
                <c:pt idx="0">
                  <c:v>std::unordered_set</c:v>
                </c:pt>
              </c:strCache>
            </c:strRef>
          </c:tx>
          <c:xVal>
            <c:numRef>
              <c:f>leslie!$A$3:$A$11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leslie!$I$3:$I$11</c:f>
              <c:numCache>
                <c:formatCode>0.00E+00</c:formatCode>
                <c:ptCount val="9"/>
                <c:pt idx="0">
                  <c:v>1.9187900000000001E-2</c:v>
                </c:pt>
                <c:pt idx="1">
                  <c:v>7.0863899999999997E-3</c:v>
                </c:pt>
                <c:pt idx="2">
                  <c:v>6.9304099999999997E-3</c:v>
                </c:pt>
                <c:pt idx="3">
                  <c:v>7.7981400000000003E-3</c:v>
                </c:pt>
                <c:pt idx="4">
                  <c:v>1.7084100000000001E-2</c:v>
                </c:pt>
                <c:pt idx="5">
                  <c:v>3.4133400000000001E-2</c:v>
                </c:pt>
                <c:pt idx="6">
                  <c:v>6.7668400000000004E-2</c:v>
                </c:pt>
                <c:pt idx="7">
                  <c:v>0.140594</c:v>
                </c:pt>
                <c:pt idx="8">
                  <c:v>0.27795500000000001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BC-4CF0-ADE7-EBEF2F55B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1151"/>
        <c:axId val="1572195311"/>
      </c:scatterChart>
      <c:valAx>
        <c:axId val="55141151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Number of Threads</a:t>
                </a:r>
              </a:p>
            </c:rich>
          </c:tx>
          <c:layout>
            <c:manualLayout>
              <c:xMode val="edge"/>
              <c:yMode val="edge"/>
              <c:x val="0.40807858749199971"/>
              <c:y val="0.904782787801749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95311"/>
        <c:crosses val="autoZero"/>
        <c:crossBetween val="midCat"/>
      </c:valAx>
      <c:valAx>
        <c:axId val="1572195311"/>
        <c:scaling>
          <c:orientation val="minMax"/>
          <c:max val="1.274999999999999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Throughput, billions of items/sec </a:t>
                </a:r>
              </a:p>
            </c:rich>
          </c:tx>
          <c:layout>
            <c:manualLayout>
              <c:xMode val="edge"/>
              <c:yMode val="edge"/>
              <c:x val="6.67942854448583E-3"/>
              <c:y val="0.1817120485637619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115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1222613041633268"/>
          <c:y val="7.379738705846127E-2"/>
          <c:w val="0.27484341553114244"/>
          <c:h val="0.1576179122861038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511836767718368E-2"/>
          <c:y val="4.4140625919517909E-2"/>
          <c:w val="0.88093943885225467"/>
          <c:h val="0.76740816590751271"/>
        </c:manualLayout>
      </c:layout>
      <c:scatterChart>
        <c:scatterStyle val="lineMarker"/>
        <c:varyColors val="0"/>
        <c:ser>
          <c:idx val="0"/>
          <c:order val="0"/>
          <c:tx>
            <c:strRef>
              <c:f>lorien!$D$2</c:f>
              <c:strCache>
                <c:ptCount val="1"/>
                <c:pt idx="0">
                  <c:v>ConcurrentHashSet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lorien!$A$3:$A$11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xVal>
          <c:yVal>
            <c:numRef>
              <c:f>lorien!$D$3:$D$11</c:f>
              <c:numCache>
                <c:formatCode>0.00E+00</c:formatCode>
                <c:ptCount val="9"/>
                <c:pt idx="0">
                  <c:v>36.332999999999998</c:v>
                </c:pt>
                <c:pt idx="1">
                  <c:v>85.179299999999998</c:v>
                </c:pt>
                <c:pt idx="2">
                  <c:v>137.69499999999999</c:v>
                </c:pt>
                <c:pt idx="3">
                  <c:v>186.61199999999999</c:v>
                </c:pt>
                <c:pt idx="4">
                  <c:v>166.672</c:v>
                </c:pt>
                <c:pt idx="5">
                  <c:v>54.295099999999998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09-4339-A64C-E778E3A5C927}"/>
            </c:ext>
          </c:extLst>
        </c:ser>
        <c:ser>
          <c:idx val="1"/>
          <c:order val="1"/>
          <c:tx>
            <c:strRef>
              <c:f>lorien!$E$2</c:f>
              <c:strCache>
                <c:ptCount val="1"/>
                <c:pt idx="0">
                  <c:v>std::unordered_set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lorien!$A$3:$A$11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xVal>
          <c:yVal>
            <c:numRef>
              <c:f>lorien!$E$3:$E$11</c:f>
              <c:numCache>
                <c:formatCode>0.00E+00</c:formatCode>
                <c:ptCount val="9"/>
                <c:pt idx="0">
                  <c:v>33.946399999999997</c:v>
                </c:pt>
                <c:pt idx="1">
                  <c:v>21.0685</c:v>
                </c:pt>
                <c:pt idx="2">
                  <c:v>22.4666</c:v>
                </c:pt>
                <c:pt idx="3">
                  <c:v>20.73</c:v>
                </c:pt>
                <c:pt idx="4">
                  <c:v>8.6775599999999997</c:v>
                </c:pt>
                <c:pt idx="5">
                  <c:v>3.4498199999999999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09-4339-A64C-E778E3A5C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1151"/>
        <c:axId val="1572195311"/>
      </c:scatterChart>
      <c:valAx>
        <c:axId val="55141151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Number of Threads</a:t>
                </a:r>
              </a:p>
            </c:rich>
          </c:tx>
          <c:layout>
            <c:manualLayout>
              <c:xMode val="edge"/>
              <c:yMode val="edge"/>
              <c:x val="0.40807858749199971"/>
              <c:y val="0.904782787801749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95311"/>
        <c:crosses val="autoZero"/>
        <c:crossBetween val="midCat"/>
      </c:valAx>
      <c:valAx>
        <c:axId val="1572195311"/>
        <c:scaling>
          <c:logBase val="10"/>
          <c:orientation val="minMax"/>
          <c:max val="35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Throughput, millions of items/sec </a:t>
                </a:r>
              </a:p>
            </c:rich>
          </c:tx>
          <c:layout>
            <c:manualLayout>
              <c:xMode val="edge"/>
              <c:yMode val="edge"/>
              <c:x val="6.67942854448583E-3"/>
              <c:y val="0.175008137949236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115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2899259748220096"/>
          <c:y val="0.52519403510315399"/>
          <c:w val="0.28202904427365744"/>
          <c:h val="0.2045452865877798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511836767718368E-2"/>
          <c:y val="4.4140625919517909E-2"/>
          <c:w val="0.88093943885225467"/>
          <c:h val="0.76740816590751271"/>
        </c:manualLayout>
      </c:layout>
      <c:scatterChart>
        <c:scatterStyle val="lineMarker"/>
        <c:varyColors val="0"/>
        <c:ser>
          <c:idx val="0"/>
          <c:order val="0"/>
          <c:tx>
            <c:strRef>
              <c:f>lorien!$H$2</c:f>
              <c:strCache>
                <c:ptCount val="1"/>
                <c:pt idx="0">
                  <c:v>ConcurrentHashSet</c:v>
                </c:pt>
              </c:strCache>
            </c:strRef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lorien!$A$3:$A$11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xVal>
          <c:yVal>
            <c:numRef>
              <c:f>lorien!$H$3:$H$11</c:f>
              <c:numCache>
                <c:formatCode>0.00E+00</c:formatCode>
                <c:ptCount val="9"/>
                <c:pt idx="0">
                  <c:v>5.2472400000000002E-2</c:v>
                </c:pt>
                <c:pt idx="1">
                  <c:v>9.9614300000000003E-2</c:v>
                </c:pt>
                <c:pt idx="2">
                  <c:v>0.17821799999999999</c:v>
                </c:pt>
                <c:pt idx="3">
                  <c:v>0.30680400000000002</c:v>
                </c:pt>
                <c:pt idx="4">
                  <c:v>0.42475200000000002</c:v>
                </c:pt>
                <c:pt idx="5">
                  <c:v>0.487043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01-44B9-AE9E-FF0629F7CCDF}"/>
            </c:ext>
          </c:extLst>
        </c:ser>
        <c:ser>
          <c:idx val="1"/>
          <c:order val="1"/>
          <c:tx>
            <c:strRef>
              <c:f>lorien!$I$2</c:f>
              <c:strCache>
                <c:ptCount val="1"/>
                <c:pt idx="0">
                  <c:v>std::unordered_set</c:v>
                </c:pt>
              </c:strCache>
            </c:strRef>
          </c:tx>
          <c:xVal>
            <c:numRef>
              <c:f>lorien!$A$3:$A$11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xVal>
          <c:yVal>
            <c:numRef>
              <c:f>lorien!$I$3:$I$11</c:f>
              <c:numCache>
                <c:formatCode>0.00E+00</c:formatCode>
                <c:ptCount val="9"/>
                <c:pt idx="0">
                  <c:v>2.41309E-2</c:v>
                </c:pt>
                <c:pt idx="1">
                  <c:v>6.7217199999999996E-3</c:v>
                </c:pt>
                <c:pt idx="2">
                  <c:v>5.5616199999999998E-3</c:v>
                </c:pt>
                <c:pt idx="3">
                  <c:v>1.08463E-2</c:v>
                </c:pt>
                <c:pt idx="4">
                  <c:v>2.12479E-2</c:v>
                </c:pt>
                <c:pt idx="5">
                  <c:v>4.2478099999999998E-2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01-44B9-AE9E-FF0629F7C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1151"/>
        <c:axId val="1572195311"/>
      </c:scatterChart>
      <c:valAx>
        <c:axId val="55141151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Number of Threads</a:t>
                </a:r>
              </a:p>
            </c:rich>
          </c:tx>
          <c:layout>
            <c:manualLayout>
              <c:xMode val="edge"/>
              <c:yMode val="edge"/>
              <c:x val="0.40807858749199971"/>
              <c:y val="0.904782787801749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95311"/>
        <c:crosses val="autoZero"/>
        <c:crossBetween val="midCat"/>
      </c:valAx>
      <c:valAx>
        <c:axId val="1572195311"/>
        <c:scaling>
          <c:orientation val="minMax"/>
          <c:max val="0.490000000000000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Throughput, billions of items/sec </a:t>
                </a:r>
              </a:p>
            </c:rich>
          </c:tx>
          <c:layout>
            <c:manualLayout>
              <c:xMode val="edge"/>
              <c:yMode val="edge"/>
              <c:x val="6.67942854448583E-3"/>
              <c:y val="0.1817120485637619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1151"/>
        <c:crosses val="autoZero"/>
        <c:crossBetween val="midCat"/>
        <c:majorUnit val="0.1"/>
      </c:valAx>
    </c:plotArea>
    <c:legend>
      <c:legendPos val="b"/>
      <c:layout>
        <c:manualLayout>
          <c:xMode val="edge"/>
          <c:yMode val="edge"/>
          <c:x val="0.11222613041633268"/>
          <c:y val="7.379738705846127E-2"/>
          <c:w val="0.27484341553114244"/>
          <c:h val="0.1576179122861038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511836767718368E-2"/>
          <c:y val="4.4140625919517909E-2"/>
          <c:w val="0.88093943885225467"/>
          <c:h val="0.80092763823516477"/>
        </c:manualLayout>
      </c:layout>
      <c:scatterChart>
        <c:scatterStyle val="lineMarker"/>
        <c:varyColors val="0"/>
        <c:ser>
          <c:idx val="0"/>
          <c:order val="0"/>
          <c:tx>
            <c:strRef>
              <c:f>leslie!$D$2</c:f>
              <c:strCache>
                <c:ptCount val="1"/>
                <c:pt idx="0">
                  <c:v>ConcurrentHashSet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leslie!$A$3:$A$11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leslie!$D$3:$D$11</c:f>
              <c:numCache>
                <c:formatCode>0.00E+00</c:formatCode>
                <c:ptCount val="9"/>
                <c:pt idx="0">
                  <c:v>23.2377</c:v>
                </c:pt>
                <c:pt idx="1">
                  <c:v>60.942100000000003</c:v>
                </c:pt>
                <c:pt idx="2">
                  <c:v>123.03100000000001</c:v>
                </c:pt>
                <c:pt idx="3">
                  <c:v>226.75299999999999</c:v>
                </c:pt>
                <c:pt idx="4">
                  <c:v>321.77800000000002</c:v>
                </c:pt>
                <c:pt idx="5">
                  <c:v>163.203</c:v>
                </c:pt>
                <c:pt idx="6">
                  <c:v>72.591300000000004</c:v>
                </c:pt>
                <c:pt idx="7">
                  <c:v>60.9405</c:v>
                </c:pt>
                <c:pt idx="8">
                  <c:v>32.414499999999997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F-4D42-ACC5-E9893608529E}"/>
            </c:ext>
          </c:extLst>
        </c:ser>
        <c:ser>
          <c:idx val="1"/>
          <c:order val="1"/>
          <c:tx>
            <c:strRef>
              <c:f>leslie!$E$2</c:f>
              <c:strCache>
                <c:ptCount val="1"/>
                <c:pt idx="0">
                  <c:v>std::unordered_set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leslie!$A$3:$A$11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leslie!$E$3:$E$11</c:f>
              <c:numCache>
                <c:formatCode>0.00E+00</c:formatCode>
                <c:ptCount val="9"/>
                <c:pt idx="0">
                  <c:v>17.410599999999999</c:v>
                </c:pt>
                <c:pt idx="1">
                  <c:v>5.4114899999999997</c:v>
                </c:pt>
                <c:pt idx="2">
                  <c:v>4.5317600000000002</c:v>
                </c:pt>
                <c:pt idx="3">
                  <c:v>1.9285300000000001</c:v>
                </c:pt>
                <c:pt idx="4">
                  <c:v>1.8099099999999999</c:v>
                </c:pt>
                <c:pt idx="5">
                  <c:v>1.7395099999999999</c:v>
                </c:pt>
                <c:pt idx="6">
                  <c:v>1.21326</c:v>
                </c:pt>
                <c:pt idx="7">
                  <c:v>0.98070999999999997</c:v>
                </c:pt>
                <c:pt idx="8">
                  <c:v>0.78720199999999996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4F-4D42-ACC5-E9893608529E}"/>
            </c:ext>
          </c:extLst>
        </c:ser>
        <c:ser>
          <c:idx val="2"/>
          <c:order val="2"/>
          <c:tx>
            <c:v>-</c:v>
          </c:tx>
          <c:spPr>
            <a:ln>
              <a:solidFill>
                <a:schemeClr val="accent1"/>
              </a:solidFill>
              <a:prstDash val="dash"/>
            </a:ln>
          </c:spPr>
          <c:marker>
            <c:symbol val="circle"/>
            <c:size val="8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lorien!$A$3:$A$8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xVal>
          <c:yVal>
            <c:numRef>
              <c:f>lorien!$D$3:$D$8</c:f>
              <c:numCache>
                <c:formatCode>0.00E+00</c:formatCode>
                <c:ptCount val="6"/>
                <c:pt idx="0">
                  <c:v>36.332999999999998</c:v>
                </c:pt>
                <c:pt idx="1">
                  <c:v>85.179299999999998</c:v>
                </c:pt>
                <c:pt idx="2">
                  <c:v>137.69499999999999</c:v>
                </c:pt>
                <c:pt idx="3">
                  <c:v>186.61199999999999</c:v>
                </c:pt>
                <c:pt idx="4">
                  <c:v>166.672</c:v>
                </c:pt>
                <c:pt idx="5">
                  <c:v>54.295099999999998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4F-4D42-ACC5-E9893608529E}"/>
            </c:ext>
          </c:extLst>
        </c:ser>
        <c:ser>
          <c:idx val="3"/>
          <c:order val="3"/>
          <c:tx>
            <c:v>std::unordered_set (lorien)</c:v>
          </c:tx>
          <c:spPr>
            <a:ln>
              <a:solidFill>
                <a:schemeClr val="accent2"/>
              </a:solidFill>
              <a:prstDash val="dash"/>
            </a:ln>
          </c:spPr>
          <c:marker>
            <c:symbol val="square"/>
            <c:size val="8"/>
            <c:spPr>
              <a:solidFill>
                <a:schemeClr val="accent2"/>
              </a:solidFill>
              <a:ln>
                <a:solidFill>
                  <a:schemeClr val="accent2"/>
                </a:solidFill>
                <a:prstDash val="dash"/>
              </a:ln>
            </c:spPr>
          </c:marker>
          <c:xVal>
            <c:numRef>
              <c:f>lorien!$A$3:$A$8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xVal>
          <c:yVal>
            <c:numRef>
              <c:f>lorien!$E$3:$E$8</c:f>
              <c:numCache>
                <c:formatCode>0.00E+00</c:formatCode>
                <c:ptCount val="6"/>
                <c:pt idx="0">
                  <c:v>33.946399999999997</c:v>
                </c:pt>
                <c:pt idx="1">
                  <c:v>21.0685</c:v>
                </c:pt>
                <c:pt idx="2">
                  <c:v>22.4666</c:v>
                </c:pt>
                <c:pt idx="3">
                  <c:v>20.73</c:v>
                </c:pt>
                <c:pt idx="4">
                  <c:v>8.6775599999999997</c:v>
                </c:pt>
                <c:pt idx="5">
                  <c:v>3.4498199999999999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4F-4D42-ACC5-E98936085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1151"/>
        <c:axId val="1572195311"/>
      </c:scatterChart>
      <c:valAx>
        <c:axId val="55141151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Number of Threads</a:t>
                </a:r>
              </a:p>
            </c:rich>
          </c:tx>
          <c:layout>
            <c:manualLayout>
              <c:xMode val="edge"/>
              <c:yMode val="edge"/>
              <c:x val="0.40927615634871989"/>
              <c:y val="0.9248945585712399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95311"/>
        <c:crosses val="autoZero"/>
        <c:crossBetween val="midCat"/>
      </c:valAx>
      <c:valAx>
        <c:axId val="1572195311"/>
        <c:scaling>
          <c:logBase val="10"/>
          <c:orientation val="minMax"/>
          <c:max val="35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Throughput, millions of items/sec </a:t>
                </a:r>
              </a:p>
            </c:rich>
          </c:tx>
          <c:layout>
            <c:manualLayout>
              <c:xMode val="edge"/>
              <c:yMode val="edge"/>
              <c:x val="6.67942854448583E-3"/>
              <c:y val="0.175008137949236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1151"/>
        <c:crosses val="autoZero"/>
        <c:crossBetween val="midCat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3977104059597343"/>
          <c:y val="2.910464962829365E-2"/>
          <c:w val="0.22574161912395682"/>
          <c:h val="0.1889028284872212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511836767718368E-2"/>
          <c:y val="4.4140625919517909E-2"/>
          <c:w val="0.88093943885225467"/>
          <c:h val="0.7986930013636564"/>
        </c:manualLayout>
      </c:layout>
      <c:scatterChart>
        <c:scatterStyle val="lineMarker"/>
        <c:varyColors val="0"/>
        <c:ser>
          <c:idx val="0"/>
          <c:order val="0"/>
          <c:tx>
            <c:strRef>
              <c:f>leslie!$H$2</c:f>
              <c:strCache>
                <c:ptCount val="1"/>
                <c:pt idx="0">
                  <c:v>ConcurrentHashSet</c:v>
                </c:pt>
              </c:strCache>
            </c:strRef>
          </c:tx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leslie!$A$3:$A$11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leslie!$H$3:$H$11</c:f>
              <c:numCache>
                <c:formatCode>0.00E+00</c:formatCode>
                <c:ptCount val="9"/>
                <c:pt idx="0">
                  <c:v>3.7185099999999999E-2</c:v>
                </c:pt>
                <c:pt idx="1">
                  <c:v>8.2700099999999999E-2</c:v>
                </c:pt>
                <c:pt idx="2">
                  <c:v>0.12445000000000001</c:v>
                </c:pt>
                <c:pt idx="3">
                  <c:v>0.205647</c:v>
                </c:pt>
                <c:pt idx="4">
                  <c:v>0.37225599999999998</c:v>
                </c:pt>
                <c:pt idx="5">
                  <c:v>0.57648600000000005</c:v>
                </c:pt>
                <c:pt idx="6">
                  <c:v>0.85890699999999998</c:v>
                </c:pt>
                <c:pt idx="7">
                  <c:v>1.16093</c:v>
                </c:pt>
                <c:pt idx="8">
                  <c:v>1.0793699999999999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45-4452-BCB8-779660DDF756}"/>
            </c:ext>
          </c:extLst>
        </c:ser>
        <c:ser>
          <c:idx val="1"/>
          <c:order val="1"/>
          <c:tx>
            <c:strRef>
              <c:f>leslie!$I$2</c:f>
              <c:strCache>
                <c:ptCount val="1"/>
                <c:pt idx="0">
                  <c:v>std::unordered_set</c:v>
                </c:pt>
              </c:strCache>
            </c:strRef>
          </c:tx>
          <c:marker>
            <c:symbol val="square"/>
            <c:size val="8"/>
          </c:marker>
          <c:xVal>
            <c:numRef>
              <c:f>leslie!$A$3:$A$11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leslie!$I$3:$I$11</c:f>
              <c:numCache>
                <c:formatCode>0.00E+00</c:formatCode>
                <c:ptCount val="9"/>
                <c:pt idx="0">
                  <c:v>1.9187900000000001E-2</c:v>
                </c:pt>
                <c:pt idx="1">
                  <c:v>7.0863899999999997E-3</c:v>
                </c:pt>
                <c:pt idx="2">
                  <c:v>6.9304099999999997E-3</c:v>
                </c:pt>
                <c:pt idx="3">
                  <c:v>7.7981400000000003E-3</c:v>
                </c:pt>
                <c:pt idx="4">
                  <c:v>1.7084100000000001E-2</c:v>
                </c:pt>
                <c:pt idx="5">
                  <c:v>3.4133400000000001E-2</c:v>
                </c:pt>
                <c:pt idx="6">
                  <c:v>6.7668400000000004E-2</c:v>
                </c:pt>
                <c:pt idx="7">
                  <c:v>0.140594</c:v>
                </c:pt>
                <c:pt idx="8">
                  <c:v>0.27795500000000001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45-4452-BCB8-779660DDF756}"/>
            </c:ext>
          </c:extLst>
        </c:ser>
        <c:ser>
          <c:idx val="2"/>
          <c:order val="2"/>
          <c:tx>
            <c:v>ConcurrentHashSet (lorien)</c:v>
          </c:tx>
          <c:spPr>
            <a:ln w="19050">
              <a:solidFill>
                <a:srgbClr val="5B9BD5"/>
              </a:solidFill>
              <a:prstDash val="lgDash"/>
            </a:ln>
          </c:spPr>
          <c:marker>
            <c:symbol val="circle"/>
            <c:size val="8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xVal>
            <c:numRef>
              <c:f>lorien!$A$3:$A$8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xVal>
          <c:yVal>
            <c:numRef>
              <c:f>lorien!$H$3:$H$8</c:f>
              <c:numCache>
                <c:formatCode>0.00E+00</c:formatCode>
                <c:ptCount val="6"/>
                <c:pt idx="0">
                  <c:v>5.2472400000000002E-2</c:v>
                </c:pt>
                <c:pt idx="1">
                  <c:v>9.9614300000000003E-2</c:v>
                </c:pt>
                <c:pt idx="2">
                  <c:v>0.17821799999999999</c:v>
                </c:pt>
                <c:pt idx="3">
                  <c:v>0.30680400000000002</c:v>
                </c:pt>
                <c:pt idx="4">
                  <c:v>0.42475200000000002</c:v>
                </c:pt>
                <c:pt idx="5">
                  <c:v>0.487043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45-4452-BCB8-779660DDF756}"/>
            </c:ext>
          </c:extLst>
        </c:ser>
        <c:ser>
          <c:idx val="3"/>
          <c:order val="3"/>
          <c:tx>
            <c:v>std::unordered_set (lorien)</c:v>
          </c:tx>
          <c:spPr>
            <a:ln w="19050">
              <a:solidFill>
                <a:srgbClr val="ED7D31"/>
              </a:solidFill>
              <a:prstDash val="lgDash"/>
            </a:ln>
          </c:spPr>
          <c:marker>
            <c:symbol val="square"/>
            <c:size val="8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numRef>
              <c:f>lorien!$A$3:$A$8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xVal>
          <c:yVal>
            <c:numRef>
              <c:f>lorien!$I$3:$I$8</c:f>
              <c:numCache>
                <c:formatCode>0.00E+00</c:formatCode>
                <c:ptCount val="6"/>
                <c:pt idx="0">
                  <c:v>2.41309E-2</c:v>
                </c:pt>
                <c:pt idx="1">
                  <c:v>6.7217199999999996E-3</c:v>
                </c:pt>
                <c:pt idx="2">
                  <c:v>5.5616199999999998E-3</c:v>
                </c:pt>
                <c:pt idx="3">
                  <c:v>1.08463E-2</c:v>
                </c:pt>
                <c:pt idx="4">
                  <c:v>2.12479E-2</c:v>
                </c:pt>
                <c:pt idx="5">
                  <c:v>4.2478099999999998E-2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45-4452-BCB8-779660DDF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41151"/>
        <c:axId val="1572195311"/>
      </c:scatterChart>
      <c:valAx>
        <c:axId val="55141151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Number of Threads</a:t>
                </a:r>
              </a:p>
            </c:rich>
          </c:tx>
          <c:layout>
            <c:manualLayout>
              <c:xMode val="edge"/>
              <c:yMode val="edge"/>
              <c:x val="0.41047376113913914"/>
              <c:y val="0.922659921699731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95311"/>
        <c:crosses val="autoZero"/>
        <c:crossBetween val="midCat"/>
      </c:valAx>
      <c:valAx>
        <c:axId val="1572195311"/>
        <c:scaling>
          <c:orientation val="minMax"/>
          <c:max val="1.274999999999999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Throughput, billions of items/sec </a:t>
                </a:r>
              </a:p>
            </c:rich>
          </c:tx>
          <c:layout>
            <c:manualLayout>
              <c:xMode val="edge"/>
              <c:yMode val="edge"/>
              <c:x val="6.67942854448583E-3"/>
              <c:y val="0.1817120485637619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1151"/>
        <c:crosses val="autoZero"/>
        <c:crossBetween val="midCat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1222613041633268"/>
          <c:y val="7.379738705846127E-2"/>
          <c:w val="0.27484341553114244"/>
          <c:h val="0.2179531078168301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13</xdr:row>
      <xdr:rowOff>76200</xdr:rowOff>
    </xdr:from>
    <xdr:to>
      <xdr:col>5</xdr:col>
      <xdr:colOff>31750</xdr:colOff>
      <xdr:row>44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8B934-490F-DF68-B48A-7DF500DBE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13</xdr:row>
      <xdr:rowOff>38100</xdr:rowOff>
    </xdr:from>
    <xdr:to>
      <xdr:col>13</xdr:col>
      <xdr:colOff>304800</xdr:colOff>
      <xdr:row>44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7C57AA-B85D-489A-AC23-689BED4F9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13</xdr:row>
      <xdr:rowOff>76200</xdr:rowOff>
    </xdr:from>
    <xdr:to>
      <xdr:col>5</xdr:col>
      <xdr:colOff>31750</xdr:colOff>
      <xdr:row>44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7230B9-638B-4E2B-B493-332FDB344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13</xdr:row>
      <xdr:rowOff>38100</xdr:rowOff>
    </xdr:from>
    <xdr:to>
      <xdr:col>13</xdr:col>
      <xdr:colOff>304800</xdr:colOff>
      <xdr:row>44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7DB6B6-C5EC-478C-B293-BE2AE57EC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17</xdr:col>
      <xdr:colOff>241300</xdr:colOff>
      <xdr:row>31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6D2CC4-B8CB-40C6-8E80-73C2752D1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31</xdr:row>
      <xdr:rowOff>177800</xdr:rowOff>
    </xdr:from>
    <xdr:to>
      <xdr:col>17</xdr:col>
      <xdr:colOff>292100</xdr:colOff>
      <xdr:row>62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A25A62-19AB-4F5C-94B0-262222AFC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1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082F08-34A9-484E-8A58-57BB56E3EB6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483816b-8cd9-4535-bc5d-8144278734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K10" sqref="K10"/>
    </sheetView>
  </sheetViews>
  <sheetFormatPr defaultRowHeight="14.5" x14ac:dyDescent="0.35"/>
  <cols>
    <col min="1" max="1" width="10" customWidth="1"/>
    <col min="2" max="7" width="36.36328125" customWidth="1"/>
    <col min="8" max="8" width="19.08984375" customWidth="1"/>
    <col min="9" max="9" width="24.54296875" customWidth="1"/>
  </cols>
  <sheetData>
    <row r="1" spans="1:9" s="2" customFormat="1" x14ac:dyDescent="0.35">
      <c r="A1" s="3"/>
      <c r="B1" s="1" t="s">
        <v>2</v>
      </c>
      <c r="C1" s="1"/>
      <c r="D1" s="3"/>
      <c r="E1" s="3"/>
      <c r="F1" s="6" t="s">
        <v>3</v>
      </c>
      <c r="G1" s="6"/>
      <c r="H1" s="6"/>
      <c r="I1" s="6"/>
    </row>
    <row r="2" spans="1:9" s="2" customFormat="1" x14ac:dyDescent="0.35">
      <c r="A2" s="3" t="s">
        <v>0</v>
      </c>
      <c r="B2" s="3" t="s">
        <v>1</v>
      </c>
      <c r="C2" s="3" t="s">
        <v>4</v>
      </c>
      <c r="D2" s="3" t="str">
        <f>B2</f>
        <v>ConcurrentHashSet</v>
      </c>
      <c r="E2" s="3" t="str">
        <f>C2</f>
        <v>std::unordered_set</v>
      </c>
      <c r="F2" s="3" t="s">
        <v>1</v>
      </c>
      <c r="G2" s="3" t="s">
        <v>4</v>
      </c>
      <c r="H2" s="3" t="str">
        <f>F2</f>
        <v>ConcurrentHashSet</v>
      </c>
      <c r="I2" s="3" t="str">
        <f>G2</f>
        <v>std::unordered_set</v>
      </c>
    </row>
    <row r="3" spans="1:9" x14ac:dyDescent="0.35">
      <c r="A3" s="4">
        <v>1</v>
      </c>
      <c r="B3" s="5">
        <v>23237700</v>
      </c>
      <c r="C3" s="5">
        <v>17410600</v>
      </c>
      <c r="D3" s="5">
        <f>B3/1000000</f>
        <v>23.2377</v>
      </c>
      <c r="E3" s="5">
        <f>C3/1000000</f>
        <v>17.410599999999999</v>
      </c>
      <c r="F3" s="5">
        <v>37185100</v>
      </c>
      <c r="G3" s="5">
        <v>19187900</v>
      </c>
      <c r="H3" s="5">
        <f>F3/1000000000</f>
        <v>3.7185099999999999E-2</v>
      </c>
      <c r="I3" s="5">
        <f>G3/1000000000</f>
        <v>1.9187900000000001E-2</v>
      </c>
    </row>
    <row r="4" spans="1:9" x14ac:dyDescent="0.35">
      <c r="A4" s="4">
        <v>2</v>
      </c>
      <c r="B4" s="5">
        <v>60942100</v>
      </c>
      <c r="C4" s="5">
        <v>5411490</v>
      </c>
      <c r="D4" s="5">
        <f t="shared" ref="D4:E11" si="0">B4/1000000</f>
        <v>60.942100000000003</v>
      </c>
      <c r="E4" s="5">
        <f t="shared" si="0"/>
        <v>5.4114899999999997</v>
      </c>
      <c r="F4" s="5">
        <v>82700100</v>
      </c>
      <c r="G4" s="5">
        <v>7086390</v>
      </c>
      <c r="H4" s="5">
        <f t="shared" ref="H4:H11" si="1">F4/1000000000</f>
        <v>8.2700099999999999E-2</v>
      </c>
      <c r="I4" s="5">
        <f t="shared" ref="I4:I11" si="2">G4/1000000000</f>
        <v>7.0863899999999997E-3</v>
      </c>
    </row>
    <row r="5" spans="1:9" x14ac:dyDescent="0.35">
      <c r="A5" s="4">
        <v>4</v>
      </c>
      <c r="B5" s="5">
        <v>123031000</v>
      </c>
      <c r="C5" s="5">
        <v>4531760</v>
      </c>
      <c r="D5" s="5">
        <f t="shared" si="0"/>
        <v>123.03100000000001</v>
      </c>
      <c r="E5" s="5">
        <f t="shared" si="0"/>
        <v>4.5317600000000002</v>
      </c>
      <c r="F5" s="5">
        <v>124450000</v>
      </c>
      <c r="G5" s="5">
        <v>6930410</v>
      </c>
      <c r="H5" s="5">
        <f t="shared" si="1"/>
        <v>0.12445000000000001</v>
      </c>
      <c r="I5" s="5">
        <f t="shared" si="2"/>
        <v>6.9304099999999997E-3</v>
      </c>
    </row>
    <row r="6" spans="1:9" x14ac:dyDescent="0.35">
      <c r="A6" s="4">
        <v>8</v>
      </c>
      <c r="B6" s="5">
        <v>226753000</v>
      </c>
      <c r="C6" s="5">
        <v>1928530</v>
      </c>
      <c r="D6" s="5">
        <f t="shared" si="0"/>
        <v>226.75299999999999</v>
      </c>
      <c r="E6" s="5">
        <f t="shared" si="0"/>
        <v>1.9285300000000001</v>
      </c>
      <c r="F6" s="5">
        <v>205647000</v>
      </c>
      <c r="G6" s="5">
        <v>7798140</v>
      </c>
      <c r="H6" s="5">
        <f t="shared" si="1"/>
        <v>0.205647</v>
      </c>
      <c r="I6" s="5">
        <f t="shared" si="2"/>
        <v>7.7981400000000003E-3</v>
      </c>
    </row>
    <row r="7" spans="1:9" x14ac:dyDescent="0.35">
      <c r="A7" s="4">
        <v>16</v>
      </c>
      <c r="B7" s="5">
        <v>321778000</v>
      </c>
      <c r="C7" s="5">
        <v>1809910</v>
      </c>
      <c r="D7" s="5">
        <f t="shared" si="0"/>
        <v>321.77800000000002</v>
      </c>
      <c r="E7" s="5">
        <f t="shared" si="0"/>
        <v>1.8099099999999999</v>
      </c>
      <c r="F7" s="5">
        <v>372256000</v>
      </c>
      <c r="G7" s="5">
        <v>17084100</v>
      </c>
      <c r="H7" s="5">
        <f t="shared" si="1"/>
        <v>0.37225599999999998</v>
      </c>
      <c r="I7" s="5">
        <f t="shared" si="2"/>
        <v>1.7084100000000001E-2</v>
      </c>
    </row>
    <row r="8" spans="1:9" x14ac:dyDescent="0.35">
      <c r="A8" s="4">
        <v>32</v>
      </c>
      <c r="B8" s="5">
        <v>163203000</v>
      </c>
      <c r="C8" s="5">
        <v>1739510</v>
      </c>
      <c r="D8" s="5">
        <f t="shared" si="0"/>
        <v>163.203</v>
      </c>
      <c r="E8" s="5">
        <f t="shared" si="0"/>
        <v>1.7395099999999999</v>
      </c>
      <c r="F8" s="5">
        <v>576486000</v>
      </c>
      <c r="G8" s="5">
        <v>34133400</v>
      </c>
      <c r="H8" s="5">
        <f t="shared" si="1"/>
        <v>0.57648600000000005</v>
      </c>
      <c r="I8" s="5">
        <f t="shared" si="2"/>
        <v>3.4133400000000001E-2</v>
      </c>
    </row>
    <row r="9" spans="1:9" x14ac:dyDescent="0.35">
      <c r="A9" s="4">
        <v>64</v>
      </c>
      <c r="B9" s="5">
        <v>72591300</v>
      </c>
      <c r="C9" s="5">
        <v>1213260</v>
      </c>
      <c r="D9" s="5">
        <f t="shared" si="0"/>
        <v>72.591300000000004</v>
      </c>
      <c r="E9" s="5">
        <f t="shared" si="0"/>
        <v>1.21326</v>
      </c>
      <c r="F9" s="5">
        <v>858907000</v>
      </c>
      <c r="G9" s="5">
        <v>67668400</v>
      </c>
      <c r="H9" s="5">
        <f t="shared" si="1"/>
        <v>0.85890699999999998</v>
      </c>
      <c r="I9" s="5">
        <f t="shared" si="2"/>
        <v>6.7668400000000004E-2</v>
      </c>
    </row>
    <row r="10" spans="1:9" x14ac:dyDescent="0.35">
      <c r="A10" s="4">
        <v>128</v>
      </c>
      <c r="B10" s="5">
        <v>60940500</v>
      </c>
      <c r="C10" s="5">
        <v>980710</v>
      </c>
      <c r="D10" s="5">
        <f t="shared" si="0"/>
        <v>60.9405</v>
      </c>
      <c r="E10" s="5">
        <f t="shared" si="0"/>
        <v>0.98070999999999997</v>
      </c>
      <c r="F10" s="5">
        <v>1160930000</v>
      </c>
      <c r="G10" s="5">
        <v>140594000</v>
      </c>
      <c r="H10" s="5">
        <f t="shared" si="1"/>
        <v>1.16093</v>
      </c>
      <c r="I10" s="5">
        <f t="shared" si="2"/>
        <v>0.140594</v>
      </c>
    </row>
    <row r="11" spans="1:9" x14ac:dyDescent="0.35">
      <c r="A11" s="4">
        <v>256</v>
      </c>
      <c r="B11" s="5">
        <v>32414500</v>
      </c>
      <c r="C11" s="5">
        <v>787202</v>
      </c>
      <c r="D11" s="5">
        <f t="shared" si="0"/>
        <v>32.414499999999997</v>
      </c>
      <c r="E11" s="5">
        <f t="shared" si="0"/>
        <v>0.78720199999999996</v>
      </c>
      <c r="F11" s="5">
        <v>1079370000</v>
      </c>
      <c r="G11" s="5">
        <v>277955000</v>
      </c>
      <c r="H11" s="5">
        <f t="shared" si="1"/>
        <v>1.0793699999999999</v>
      </c>
      <c r="I11" s="5">
        <f t="shared" si="2"/>
        <v>0.27795500000000001</v>
      </c>
    </row>
  </sheetData>
  <mergeCells count="1">
    <mergeCell ref="F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9BBB-B4FF-4BEC-BDE9-B0E1BFB124D4}">
  <dimension ref="A1:I11"/>
  <sheetViews>
    <sheetView workbookViewId="0">
      <selection activeCell="A9" sqref="A9:XFD11"/>
    </sheetView>
  </sheetViews>
  <sheetFormatPr defaultRowHeight="14.5" x14ac:dyDescent="0.35"/>
  <cols>
    <col min="1" max="1" width="10" customWidth="1"/>
    <col min="2" max="7" width="36.36328125" customWidth="1"/>
    <col min="8" max="8" width="19.08984375" customWidth="1"/>
    <col min="9" max="9" width="24.54296875" customWidth="1"/>
  </cols>
  <sheetData>
    <row r="1" spans="1:9" s="2" customFormat="1" x14ac:dyDescent="0.35">
      <c r="A1" s="3"/>
      <c r="B1" s="1" t="s">
        <v>2</v>
      </c>
      <c r="C1" s="1"/>
      <c r="D1" s="3"/>
      <c r="E1" s="3"/>
      <c r="F1" s="6" t="s">
        <v>3</v>
      </c>
      <c r="G1" s="6"/>
      <c r="H1" s="6"/>
      <c r="I1" s="6"/>
    </row>
    <row r="2" spans="1:9" s="2" customFormat="1" x14ac:dyDescent="0.35">
      <c r="A2" s="3" t="s">
        <v>0</v>
      </c>
      <c r="B2" s="3" t="s">
        <v>1</v>
      </c>
      <c r="C2" s="3" t="s">
        <v>4</v>
      </c>
      <c r="D2" s="3" t="str">
        <f>B2</f>
        <v>ConcurrentHashSet</v>
      </c>
      <c r="E2" s="3" t="str">
        <f>C2</f>
        <v>std::unordered_set</v>
      </c>
      <c r="F2" s="3" t="s">
        <v>1</v>
      </c>
      <c r="G2" s="3" t="s">
        <v>4</v>
      </c>
      <c r="H2" s="3" t="str">
        <f>F2</f>
        <v>ConcurrentHashSet</v>
      </c>
      <c r="I2" s="3" t="str">
        <f>G2</f>
        <v>std::unordered_set</v>
      </c>
    </row>
    <row r="3" spans="1:9" x14ac:dyDescent="0.35">
      <c r="A3" s="4">
        <v>1</v>
      </c>
      <c r="B3" s="5">
        <v>36333000</v>
      </c>
      <c r="C3" s="5">
        <v>33946400</v>
      </c>
      <c r="D3" s="5">
        <f>B3/1000000</f>
        <v>36.332999999999998</v>
      </c>
      <c r="E3" s="5">
        <f>C3/1000000</f>
        <v>33.946399999999997</v>
      </c>
      <c r="F3" s="5">
        <v>52472400</v>
      </c>
      <c r="G3" s="5">
        <v>24130900</v>
      </c>
      <c r="H3" s="5">
        <f>F3/1000000000</f>
        <v>5.2472400000000002E-2</v>
      </c>
      <c r="I3" s="5">
        <f>G3/1000000000</f>
        <v>2.41309E-2</v>
      </c>
    </row>
    <row r="4" spans="1:9" x14ac:dyDescent="0.35">
      <c r="A4" s="4">
        <v>2</v>
      </c>
      <c r="B4" s="5">
        <v>85179300</v>
      </c>
      <c r="C4" s="5">
        <v>21068500</v>
      </c>
      <c r="D4" s="5">
        <f t="shared" ref="D4:E11" si="0">B4/1000000</f>
        <v>85.179299999999998</v>
      </c>
      <c r="E4" s="5">
        <f t="shared" si="0"/>
        <v>21.0685</v>
      </c>
      <c r="F4" s="5">
        <v>99614300</v>
      </c>
      <c r="G4" s="5">
        <v>6721720</v>
      </c>
      <c r="H4" s="5">
        <f t="shared" ref="H4:I11" si="1">F4/1000000000</f>
        <v>9.9614300000000003E-2</v>
      </c>
      <c r="I4" s="5">
        <f t="shared" si="1"/>
        <v>6.7217199999999996E-3</v>
      </c>
    </row>
    <row r="5" spans="1:9" x14ac:dyDescent="0.35">
      <c r="A5" s="4">
        <v>4</v>
      </c>
      <c r="B5" s="5">
        <v>137695000</v>
      </c>
      <c r="C5" s="5">
        <v>22466600</v>
      </c>
      <c r="D5" s="5">
        <f t="shared" si="0"/>
        <v>137.69499999999999</v>
      </c>
      <c r="E5" s="5">
        <f t="shared" si="0"/>
        <v>22.4666</v>
      </c>
      <c r="F5" s="5">
        <v>178218000</v>
      </c>
      <c r="G5" s="5">
        <v>5561620</v>
      </c>
      <c r="H5" s="5">
        <f t="shared" si="1"/>
        <v>0.17821799999999999</v>
      </c>
      <c r="I5" s="5">
        <f t="shared" si="1"/>
        <v>5.5616199999999998E-3</v>
      </c>
    </row>
    <row r="6" spans="1:9" x14ac:dyDescent="0.35">
      <c r="A6" s="4">
        <v>8</v>
      </c>
      <c r="B6" s="5">
        <v>186612000</v>
      </c>
      <c r="C6" s="5">
        <v>20730000</v>
      </c>
      <c r="D6" s="5">
        <f t="shared" si="0"/>
        <v>186.61199999999999</v>
      </c>
      <c r="E6" s="5">
        <f t="shared" si="0"/>
        <v>20.73</v>
      </c>
      <c r="F6" s="5">
        <v>306804000</v>
      </c>
      <c r="G6" s="5">
        <v>10846300</v>
      </c>
      <c r="H6" s="5">
        <f t="shared" si="1"/>
        <v>0.30680400000000002</v>
      </c>
      <c r="I6" s="5">
        <f t="shared" si="1"/>
        <v>1.08463E-2</v>
      </c>
    </row>
    <row r="7" spans="1:9" x14ac:dyDescent="0.35">
      <c r="A7" s="4">
        <v>16</v>
      </c>
      <c r="B7" s="5">
        <v>166672000</v>
      </c>
      <c r="C7" s="5">
        <v>8677560</v>
      </c>
      <c r="D7" s="5">
        <f t="shared" si="0"/>
        <v>166.672</v>
      </c>
      <c r="E7" s="5">
        <f t="shared" si="0"/>
        <v>8.6775599999999997</v>
      </c>
      <c r="F7" s="5">
        <v>424752000</v>
      </c>
      <c r="G7" s="5">
        <v>21247900</v>
      </c>
      <c r="H7" s="5">
        <f t="shared" si="1"/>
        <v>0.42475200000000002</v>
      </c>
      <c r="I7" s="5">
        <f t="shared" si="1"/>
        <v>2.12479E-2</v>
      </c>
    </row>
    <row r="8" spans="1:9" x14ac:dyDescent="0.35">
      <c r="A8" s="4">
        <v>32</v>
      </c>
      <c r="B8" s="5">
        <v>54295100</v>
      </c>
      <c r="C8" s="5">
        <v>3449820</v>
      </c>
      <c r="D8" s="5">
        <f t="shared" si="0"/>
        <v>54.295099999999998</v>
      </c>
      <c r="E8" s="5">
        <f t="shared" si="0"/>
        <v>3.4498199999999999</v>
      </c>
      <c r="F8" s="5">
        <v>487043000</v>
      </c>
      <c r="G8" s="5">
        <v>42478100</v>
      </c>
      <c r="H8" s="5">
        <f t="shared" si="1"/>
        <v>0.487043</v>
      </c>
      <c r="I8" s="5">
        <f t="shared" si="1"/>
        <v>4.2478099999999998E-2</v>
      </c>
    </row>
    <row r="9" spans="1:9" x14ac:dyDescent="0.35">
      <c r="A9" s="4"/>
      <c r="B9" s="5"/>
      <c r="C9" s="5"/>
      <c r="D9" s="5"/>
      <c r="E9" s="5"/>
      <c r="F9" s="5"/>
      <c r="G9" s="5"/>
      <c r="H9" s="5"/>
      <c r="I9" s="5"/>
    </row>
    <row r="10" spans="1:9" x14ac:dyDescent="0.35">
      <c r="A10" s="4"/>
      <c r="B10" s="5"/>
      <c r="C10" s="5"/>
      <c r="D10" s="5"/>
      <c r="E10" s="5"/>
      <c r="F10" s="5"/>
      <c r="G10" s="5"/>
      <c r="H10" s="5"/>
      <c r="I10" s="5"/>
    </row>
    <row r="11" spans="1:9" x14ac:dyDescent="0.35">
      <c r="A11" s="4"/>
      <c r="B11" s="5"/>
      <c r="C11" s="5"/>
      <c r="D11" s="5"/>
      <c r="E11" s="5"/>
      <c r="F11" s="5"/>
      <c r="G11" s="5"/>
      <c r="H11" s="5"/>
      <c r="I11" s="5"/>
    </row>
  </sheetData>
  <mergeCells count="1">
    <mergeCell ref="F1:I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F919-12DA-40DE-8993-26AD87ECAEF3}">
  <dimension ref="A1"/>
  <sheetViews>
    <sheetView tabSelected="1" workbookViewId="0">
      <selection activeCell="S49" sqref="S4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leslie</vt:lpstr>
      <vt:lpstr>lorien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 Pikus</dc:creator>
  <cp:lastModifiedBy>Fedor Pikus</cp:lastModifiedBy>
  <dcterms:created xsi:type="dcterms:W3CDTF">2015-06-05T18:17:20Z</dcterms:created>
  <dcterms:modified xsi:type="dcterms:W3CDTF">2026-07-17T01:19:40Z</dcterms:modified>
</cp:coreProperties>
</file>